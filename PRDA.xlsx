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capstone\PRDA-01-PA\"/>
    </mc:Choice>
  </mc:AlternateContent>
  <xr:revisionPtr revIDLastSave="0" documentId="13_ncr:1_{F41995DE-97E3-4167-8C73-B5D77ACCEC95}" xr6:coauthVersionLast="47" xr6:coauthVersionMax="47" xr10:uidLastSave="{00000000-0000-0000-0000-000000000000}"/>
  <bookViews>
    <workbookView xWindow="-108" yWindow="-108" windowWidth="23256" windowHeight="12456" xr2:uid="{BDE5C5B6-8045-48CA-B5E1-A869C37150C7}"/>
  </bookViews>
  <sheets>
    <sheet name="Table1" sheetId="2" r:id="rId1"/>
    <sheet name="Regression analysis" sheetId="4" r:id="rId2"/>
    <sheet name="PRDA-01" sheetId="1" r:id="rId3"/>
  </sheets>
  <definedNames>
    <definedName name="ExternalData_1" localSheetId="0" hidden="1">Table1!$A$1:$E$51</definedName>
    <definedName name="solver_adj" localSheetId="0" hidden="1">Table1!$A$64:$C$64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Table1!$D$64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5" i="2" l="1"/>
  <c r="F64" i="2"/>
  <c r="D65" i="2"/>
  <c r="D6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19AA50-431E-43ED-8CE2-6379E06BD25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C976CE38-F9AF-4379-8444-44AE9C286506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<sst xmlns="http://schemas.openxmlformats.org/spreadsheetml/2006/main" count="222" uniqueCount="125">
  <si>
    <t>RD_Spend;"Administration";"Marketing_Spend";"State";"Profit"</t>
  </si>
  <si>
    <t>165349.2;136897.8;471784.1;"New York";192261.83</t>
  </si>
  <si>
    <t>162597.7;151377.59;443898.53;"California";191792.06</t>
  </si>
  <si>
    <t>153441.51;101145.55;407934.54;"Florida";191050.39</t>
  </si>
  <si>
    <t>144372.41;118671.85;383199.62;"New York";182901.99</t>
  </si>
  <si>
    <t>142107.34;91391.77;366168.42;"Florida";166187.94</t>
  </si>
  <si>
    <t>131876.9;99814.71;362861.36;"New York";156991.12</t>
  </si>
  <si>
    <t>134615.46;147198.87;127716.82;"California";156122.51</t>
  </si>
  <si>
    <t>130298.13;145530.06;323876.68;"Florida";155752.6</t>
  </si>
  <si>
    <t>120542.52;148718.95;311613.29;"New York";152211.77</t>
  </si>
  <si>
    <t>123334.88;108679.17;304981.62;"California";149759.96</t>
  </si>
  <si>
    <t>101913.08;110594.11;229160.95;"Florida";146121.95</t>
  </si>
  <si>
    <t>100671.96;91790.61;249744.55;"California";144259.4</t>
  </si>
  <si>
    <t>93863.75;127320.38;249839.44;"Florida";141585.52</t>
  </si>
  <si>
    <t>91992.39;135495.07;252664.93;"California";134307.35</t>
  </si>
  <si>
    <t>119943.24;156547.42;256512.92;"Florida";132602.65</t>
  </si>
  <si>
    <t>114523.61;122616.84;261776.23;"New York";129917.04</t>
  </si>
  <si>
    <t>78013.11;121597.55;264346.06;"California";126992.93</t>
  </si>
  <si>
    <t>94657.16;145077.58;282574.31;"New York";125370.37</t>
  </si>
  <si>
    <t>91749.16;114175.79;294919.57;"Florida";124266.9</t>
  </si>
  <si>
    <t>86419.7;153514.11;0.0;"New York";122776.86</t>
  </si>
  <si>
    <t>76253.86;113867.3;298664.47;"California";118474.03</t>
  </si>
  <si>
    <t>78389.47;153773.43;299737.29;"New York";111313.02</t>
  </si>
  <si>
    <t>73994.56;122782.75;303319.26;"Florida";110352.25</t>
  </si>
  <si>
    <t>67532.53;105751.03;304768.73;"Florida";108733.99</t>
  </si>
  <si>
    <t>77044.01;99281.34;140574.81;"New York";108552.04</t>
  </si>
  <si>
    <t>64664.71;139553.16;137962.62;"California";107404.34</t>
  </si>
  <si>
    <t>75328.87;144135.98;134050.07;"Florida";105733.54</t>
  </si>
  <si>
    <t>72107.6;127864.55;353183.81;"New York";105008.31</t>
  </si>
  <si>
    <t>66051.52;182645.56;118148.2;"Florida";103282.38</t>
  </si>
  <si>
    <t>65605.48;153032.06;107138.38;"New York";101004.64</t>
  </si>
  <si>
    <t>61994.48;115641.28;91131.24;"Florida";99937.59</t>
  </si>
  <si>
    <t>61136.38;152701.92;88218.23;"New York";97483.56</t>
  </si>
  <si>
    <t>63408.86;129219.61;46085.25;"California";97427.84</t>
  </si>
  <si>
    <t>55493.95;103057.49;214634.81;"Florida";96778.92</t>
  </si>
  <si>
    <t>46426.07;157693.92;210797.67;"California";96712.8</t>
  </si>
  <si>
    <t>46014.02;85047.44;205517.64;"New York";96479.51</t>
  </si>
  <si>
    <t>28663.76;127056.21;201126.82;"Florida";90708.19</t>
  </si>
  <si>
    <t>44069.95;51283.14;197029.42;"California";89949.14</t>
  </si>
  <si>
    <t>20229.59;65947.93;185265.1;"New York";81229.06</t>
  </si>
  <si>
    <t>38558.51;82982.09;174999.3;"California";81005.76</t>
  </si>
  <si>
    <t>28754.33;118546.05;172795.67;"California";78239.91</t>
  </si>
  <si>
    <t>27892.92;84710.77;164470.71;"Florida";77798.83</t>
  </si>
  <si>
    <t>23640.93;96189.63;148001.11;"California";71498.49</t>
  </si>
  <si>
    <t>15505.73;127382.3;35534.17;"New York";69758.98</t>
  </si>
  <si>
    <t>22177.74;154806.14;28334.72;"California";65200.33</t>
  </si>
  <si>
    <t>1000.23;124153.04;1903.93;"New York";64926.08</t>
  </si>
  <si>
    <t>1315.46;115816.21;297114.46;"Florida";49490.75</t>
  </si>
  <si>
    <t>0.0;135426.92;0.0;"California";42559.73</t>
  </si>
  <si>
    <t>542.05;51743.15;0.0;"New York";35673.41</t>
  </si>
  <si>
    <t>0.0;116983.8;45173.06;"California";14681.4</t>
  </si>
  <si>
    <t>New York</t>
  </si>
  <si>
    <t>California</t>
  </si>
  <si>
    <t>Florida</t>
  </si>
  <si>
    <t>RD_Spend</t>
  </si>
  <si>
    <t>Administration</t>
  </si>
  <si>
    <t>State</t>
  </si>
  <si>
    <t>Profit</t>
  </si>
  <si>
    <t>Marketing_Spend</t>
  </si>
  <si>
    <t>Task: </t>
  </si>
  <si>
    <t>1. Get data from the database with the given credentials.</t>
  </si>
  <si>
    <t>2. Perform Regression Analysis for the given data to identify how the money spent on Marketing, R&amp;D, and Administration is affecting the company’s Profit. Predict the Profit for the below-given input features.</t>
  </si>
  <si>
    <t>R&amp;D Spend</t>
  </si>
  <si>
    <t>Marketing Spend</t>
  </si>
  <si>
    <t>3. Visualize the data using Tableau /PowerBI and derive insights about all the features provided and give your inputs/suggestions to the company.</t>
  </si>
  <si>
    <t>Attribute Information:</t>
  </si>
  <si>
    <t>R&amp;D spending:</t>
  </si>
  <si>
    <t>The amount that startups are spending on Research and development.</t>
  </si>
  <si>
    <t>Administration spending:</t>
  </si>
  <si>
    <t>Marketing spending:</t>
  </si>
  <si>
    <t>State:</t>
  </si>
  <si>
    <t>To which state that particular startup belongs.</t>
  </si>
  <si>
    <t>Profit: </t>
  </si>
  <si>
    <t>How much profit that particular startup is making.</t>
  </si>
  <si>
    <t>The amount that startups are spending on marketing strategies.</t>
  </si>
  <si>
    <t>The amount that startups are spending on the admin panel.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</si>
  <si>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</si>
  <si>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</si>
  <si>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</si>
  <si>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</si>
  <si>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</si>
  <si>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</si>
  <si>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</si>
  <si>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</si>
  <si>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</si>
  <si>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</si>
  <si>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</si>
  <si>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</si>
  <si>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</si>
  <si>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</si>
  <si>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</si>
  <si>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</si>
  <si>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</si>
  <si>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</si>
  <si>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</si>
  <si>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</si>
  <si>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</si>
  <si>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</si>
  <si>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</si>
  <si>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</si>
  <si>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R&amp;D spend</t>
  </si>
  <si>
    <t xml:space="preserve">Administration </t>
  </si>
  <si>
    <t xml:space="preserve">Marketing spend </t>
  </si>
  <si>
    <t>INSIGHT:</t>
  </si>
  <si>
    <t>2. If RD_spend is 21892.92 , Administration spending is 81910.77 and Marketing spend is 164270.7 then the company make a profit of 70037.90477 .</t>
  </si>
  <si>
    <t xml:space="preserve">3. If RD spend is 23940.93, Administration spending is 96489.63 and Marketing spend is </t>
  </si>
  <si>
    <r>
      <t xml:space="preserve">The model is </t>
    </r>
    <r>
      <rPr>
        <b/>
        <sz val="11"/>
        <color theme="1"/>
        <rFont val="Calibri"/>
        <family val="2"/>
        <scheme val="minor"/>
      </rPr>
      <t>highly accurate</t>
    </r>
    <r>
      <rPr>
        <sz val="11"/>
        <color theme="1"/>
        <rFont val="Calibri"/>
        <family val="2"/>
        <scheme val="minor"/>
      </rPr>
      <t xml:space="preserve">—it explains </t>
    </r>
    <r>
      <rPr>
        <b/>
        <sz val="11"/>
        <color theme="1"/>
        <rFont val="Calibri"/>
        <family val="2"/>
        <scheme val="minor"/>
      </rPr>
      <t>over 95%</t>
    </r>
    <r>
      <rPr>
        <sz val="11"/>
        <color theme="1"/>
        <rFont val="Calibri"/>
        <family val="2"/>
        <scheme val="minor"/>
      </rPr>
      <t xml:space="preserve"> of the variation in profit. That’s like saying, “I can guess your profit almost perfectly just by knowing how much you spent on these three things.”</t>
    </r>
  </si>
  <si>
    <r>
      <t xml:space="preserve">Among the three, </t>
    </r>
    <r>
      <rPr>
        <b/>
        <sz val="11"/>
        <color theme="1"/>
        <rFont val="Calibri"/>
        <family val="2"/>
        <scheme val="minor"/>
      </rPr>
      <t>R&amp;D spend is the hero</t>
    </r>
    <r>
      <rPr>
        <sz val="11"/>
        <color theme="1"/>
        <rFont val="Calibri"/>
        <family val="2"/>
        <scheme val="minor"/>
      </rPr>
      <t>. It has a strong, consistent impact on profit. Every extra rupee spent on R&amp;D gives a solid return.</t>
    </r>
  </si>
  <si>
    <r>
      <t>Administration costs</t>
    </r>
    <r>
      <rPr>
        <sz val="11"/>
        <color theme="1"/>
        <rFont val="Calibri"/>
        <family val="2"/>
        <scheme val="minor"/>
      </rPr>
      <t>, on the other hand, don’t seem to influence profit much. The model says, “Meh, not a big deal.”</t>
    </r>
  </si>
  <si>
    <r>
      <t>Marketing spend</t>
    </r>
    <r>
      <rPr>
        <sz val="11"/>
        <color theme="1"/>
        <rFont val="Calibri"/>
        <family val="2"/>
        <scheme val="minor"/>
      </rPr>
      <t xml:space="preserve"> shows a weak positive effect, but it’s not strong enough to be statistically confident. It might help, but the data isn’t loud enough to prove it.</t>
    </r>
  </si>
  <si>
    <t>Actual Profit</t>
  </si>
  <si>
    <t>Predicted Profit</t>
  </si>
  <si>
    <t>Difference</t>
  </si>
  <si>
    <t>name</t>
  </si>
  <si>
    <t>A</t>
  </si>
  <si>
    <t>B</t>
  </si>
  <si>
    <t>C</t>
  </si>
  <si>
    <t>D</t>
  </si>
  <si>
    <t>E</t>
  </si>
  <si>
    <t>Z</t>
  </si>
  <si>
    <t>Y</t>
  </si>
  <si>
    <t>X</t>
  </si>
  <si>
    <t>W</t>
  </si>
  <si>
    <t>V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</si>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</sst>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3.95"/>
      <color rgb="FF3C4043"/>
      <name val="Book Antiqua"/>
      <family val="1"/>
    </font>
    <font>
      <sz val="13.95"/>
      <color rgb="FF3C4043"/>
      <name val="Book Antiqua"/>
      <family val="1"/>
    </font>
    <font>
      <sz val="13.95"/>
      <color rgb="FF000000"/>
      <name val="Book Antiqua"/>
      <family val="1"/>
    </font>
    <font>
      <u/>
      <sz val="13.95"/>
      <color rgb="FF000000"/>
      <name val="Book Antiqua"/>
      <family val="1"/>
    </font>
    <font>
      <sz val="13.95"/>
      <color rgb="FF222222"/>
      <name val="Book Antiqua"/>
      <family val="1"/>
    </font>
    <font>
      <b/>
      <sz val="13.95"/>
      <color rgb="FF222222"/>
      <name val="Book Antiqua"/>
      <family val="1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.95"/>
      <name val="Book Antiqua"/>
      <family val="1"/>
    </font>
    <font>
      <b/>
      <i/>
      <sz val="11"/>
      <color theme="1"/>
      <name val="Calibri"/>
      <family val="2"/>
      <scheme val="minor"/>
    </font>
    <font>
      <b/>
      <sz val="10"/>
      <color rgb="FF3C4043"/>
      <name val="Book Antiqua"/>
      <family val="1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C4254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3">
    <xf numFmtId="0" fontId="0" fillId="0" borderId="0" xfId="0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8" fillId="33" borderId="0" xfId="0" applyFont="1" applyFill="1" applyAlignment="1">
      <alignment vertical="center"/>
    </xf>
    <xf numFmtId="0" fontId="0" fillId="33" borderId="0" xfId="0" applyFill="1"/>
    <xf numFmtId="0" fontId="19" fillId="33" borderId="0" xfId="0" applyFont="1" applyFill="1" applyAlignment="1">
      <alignment horizontal="left" vertical="center" indent="1"/>
    </xf>
    <xf numFmtId="0" fontId="0" fillId="33" borderId="0" xfId="0" applyFill="1" applyAlignment="1">
      <alignment horizontal="left" vertical="center" indent="1"/>
    </xf>
    <xf numFmtId="0" fontId="20" fillId="33" borderId="0" xfId="0" applyFont="1" applyFill="1" applyAlignment="1">
      <alignment horizontal="left" vertical="center" indent="1"/>
    </xf>
    <xf numFmtId="0" fontId="21" fillId="34" borderId="0" xfId="0" applyFont="1" applyFill="1"/>
    <xf numFmtId="0" fontId="0" fillId="34" borderId="0" xfId="0" applyFill="1"/>
    <xf numFmtId="0" fontId="23" fillId="34" borderId="0" xfId="0" applyFont="1" applyFill="1"/>
    <xf numFmtId="0" fontId="22" fillId="34" borderId="0" xfId="0" applyFont="1" applyFill="1"/>
    <xf numFmtId="0" fontId="24" fillId="34" borderId="0" xfId="0" applyFont="1" applyFill="1"/>
    <xf numFmtId="0" fontId="16" fillId="0" borderId="0" xfId="0" applyFont="1"/>
    <xf numFmtId="0" fontId="16" fillId="0" borderId="19" xfId="0" applyFont="1" applyBorder="1"/>
    <xf numFmtId="0" fontId="16" fillId="0" borderId="20" xfId="0" applyFont="1" applyBorder="1" applyAlignment="1">
      <alignment horizontal="centerContinuous"/>
    </xf>
    <xf numFmtId="0" fontId="16" fillId="0" borderId="20" xfId="0" applyFont="1" applyBorder="1" applyAlignment="1">
      <alignment horizontal="center"/>
    </xf>
    <xf numFmtId="0" fontId="26" fillId="35" borderId="10" xfId="0" applyFont="1" applyFill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4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25" fillId="0" borderId="0" xfId="0" applyFont="1" applyAlignment="1">
      <alignment horizontal="left" vertical="center" indent="1"/>
    </xf>
    <xf numFmtId="164" fontId="27" fillId="0" borderId="10" xfId="0" applyNumberFormat="1" applyFont="1" applyBorder="1" applyAlignment="1">
      <alignment horizontal="center" vertical="center" wrapText="1"/>
    </xf>
    <xf numFmtId="0" fontId="13" fillId="36" borderId="10" xfId="0" applyFont="1" applyFill="1" applyBorder="1" applyAlignment="1">
      <alignment horizontal="center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16" fillId="0" borderId="0" xfId="0" applyFont="1" applyAlignment="1">
      <alignment horizontal="centerContinuous"/>
    </xf>
    <xf numFmtId="0" fontId="16" fillId="0" borderId="0" xfId="0" applyFont="1" applyAlignment="1">
      <alignment horizontal="center"/>
    </xf>
    <xf numFmtId="0" fontId="28" fillId="0" borderId="20" xfId="0" applyFont="1" applyBorder="1" applyAlignment="1">
      <alignment horizontal="centerContinuous"/>
    </xf>
    <xf numFmtId="0" fontId="28" fillId="0" borderId="20" xfId="0" applyFont="1" applyBorder="1" applyAlignment="1">
      <alignment horizontal="center"/>
    </xf>
    <xf numFmtId="164" fontId="16" fillId="35" borderId="10" xfId="0" applyNumberFormat="1" applyFont="1" applyFill="1" applyBorder="1"/>
    <xf numFmtId="0" fontId="26" fillId="33" borderId="10" xfId="0" applyFont="1" applyFill="1" applyBorder="1" applyAlignment="1">
      <alignment horizontal="center"/>
    </xf>
    <xf numFmtId="164" fontId="16" fillId="33" borderId="10" xfId="0" applyNumberFormat="1" applyFont="1" applyFill="1" applyBorder="1"/>
    <xf numFmtId="0" fontId="26" fillId="39" borderId="10" xfId="0" applyFont="1" applyFill="1" applyBorder="1" applyAlignment="1">
      <alignment horizontal="center"/>
    </xf>
    <xf numFmtId="164" fontId="16" fillId="39" borderId="10" xfId="0" applyNumberFormat="1" applyFont="1" applyFill="1" applyBorder="1"/>
    <xf numFmtId="0" fontId="19" fillId="33" borderId="10" xfId="0" applyFont="1" applyFill="1" applyBorder="1" applyAlignment="1">
      <alignment horizontal="center" vertical="center" wrapText="1"/>
    </xf>
    <xf numFmtId="0" fontId="29" fillId="33" borderId="21" xfId="0" applyFont="1" applyFill="1" applyBorder="1" applyAlignment="1">
      <alignment horizontal="center" vertical="center" wrapText="1"/>
    </xf>
    <xf numFmtId="0" fontId="29" fillId="33" borderId="22" xfId="0" applyFont="1" applyFill="1" applyBorder="1" applyAlignment="1">
      <alignment horizontal="center" vertical="center" wrapText="1"/>
    </xf>
    <xf numFmtId="0" fontId="29" fillId="33" borderId="23" xfId="0" applyFont="1" applyFill="1" applyBorder="1" applyAlignment="1">
      <alignment horizontal="center" vertical="center" wrapText="1"/>
    </xf>
    <xf numFmtId="0" fontId="19" fillId="33" borderId="24" xfId="0" applyFont="1" applyFill="1" applyBorder="1" applyAlignment="1">
      <alignment horizontal="center" vertical="center" wrapText="1"/>
    </xf>
    <xf numFmtId="0" fontId="0" fillId="33" borderId="25" xfId="0" applyFill="1" applyBorder="1" applyAlignment="1">
      <alignment horizontal="center" vertical="top" wrapText="1"/>
    </xf>
    <xf numFmtId="0" fontId="19" fillId="33" borderId="26" xfId="0" applyFont="1" applyFill="1" applyBorder="1" applyAlignment="1">
      <alignment horizontal="center" vertical="center" wrapText="1"/>
    </xf>
    <xf numFmtId="0" fontId="19" fillId="33" borderId="27" xfId="0" applyFont="1" applyFill="1" applyBorder="1" applyAlignment="1">
      <alignment horizontal="center" vertical="center" wrapText="1"/>
    </xf>
    <xf numFmtId="0" fontId="0" fillId="33" borderId="28" xfId="0" applyFill="1" applyBorder="1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C4254"/>
      <color rgb="FFFC24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F3A5A65-243B-452D-B53A-9480EFA21711}" autoFormatId="16" applyNumberFormats="0" applyBorderFormats="0" applyFontFormats="0" applyPatternFormats="0" applyAlignmentFormats="0" applyWidthHeightFormats="0">
  <queryTableRefresh nextId="7">
    <queryTableFields count="5">
      <queryTableField id="1" name="RD_Spend;&quot;Administration&quot;;&quot;Marketing_Spend&quot;;&quot;State&quot;;&quot;Profit&quot;.1" tableColumnId="1"/>
      <queryTableField id="2" name="RD_Spend;&quot;Administration&quot;;&quot;Marketing_Spend&quot;;&quot;State&quot;;&quot;Profit&quot;.2" tableColumnId="2"/>
      <queryTableField id="3" name="RD_Spend;&quot;Administration&quot;;&quot;Marketing_Spend&quot;;&quot;State&quot;;&quot;Profit&quot;.3" tableColumnId="3"/>
      <queryTableField id="4" name="RD_Spend;&quot;Administration&quot;;&quot;Marketing_Spend&quot;;&quot;State&quot;;&quot;Profit&quot;.4" tableColumnId="4"/>
      <queryTableField id="5" name="RD_Spend;&quot;Administration&quot;;&quot;Marketing_Spend&quot;;&quot;State&quot;;&quot;Profit&quot;.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445885-7F93-4538-A4C8-99CF0A863073}" name="Table1_1" displayName="Table1_1" ref="A1:E51" tableType="queryTable" totalsRowShown="0" headerRowDxfId="16" dataDxfId="14" headerRowBorderDxfId="15" tableBorderDxfId="13" totalsRowBorderDxfId="12">
  <autoFilter ref="A1:E51" xr:uid="{38445885-7F93-4538-A4C8-99CF0A863073}"/>
  <sortState xmlns:xlrd2="http://schemas.microsoft.com/office/spreadsheetml/2017/richdata2" ref="A2:E51">
    <sortCondition descending="1" ref="E1:E51"/>
  </sortState>
  <tableColumns count="5">
    <tableColumn id="1" xr3:uid="{ED6B2B4A-8D89-4D1A-ADE6-4722AC590B81}" uniqueName="1" name="RD_Spend" queryTableFieldId="1" dataDxfId="11"/>
    <tableColumn id="2" xr3:uid="{B9A82789-0DA4-4901-A9B7-88E96B71E311}" uniqueName="2" name="Administration" queryTableFieldId="2" dataDxfId="10"/>
    <tableColumn id="3" xr3:uid="{6FDFD25E-4901-43BC-8465-E269B606CB8B}" uniqueName="3" name="Marketing_Spend" queryTableFieldId="3" dataDxfId="9"/>
    <tableColumn id="4" xr3:uid="{58A96247-94ED-4797-B088-B299E393B863}" uniqueName="4" name="State" queryTableFieldId="4" dataDxfId="8"/>
    <tableColumn id="5" xr3:uid="{ACF78504-308A-46C2-9154-2D3A62F6FDF9}" uniqueName="5" name="Profit" queryTableFieldId="5" dataDxfId="7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94CF09-77E7-4F81-909A-5BB7E1A5AB97}" name="Table3" displayName="Table3" ref="D101:I113" totalsRowShown="0" headerRowDxfId="6" dataDxfId="5">
  <autoFilter ref="D101:I113" xr:uid="{0A94CF09-77E7-4F81-909A-5BB7E1A5AB97}"/>
  <tableColumns count="6">
    <tableColumn id="1" xr3:uid="{D7B4E351-0FAC-4C33-B1EC-3BDC363F18F3}" name="name"/>
    <tableColumn id="2" xr3:uid="{8D7860F5-3998-4844-9EAB-E23F2C014861}" name="RD_Spend" dataDxfId="4"/>
    <tableColumn id="3" xr3:uid="{84539964-BBAB-4A49-A56A-62B6E6C88D9A}" name="Administration" dataDxfId="3"/>
    <tableColumn id="4" xr3:uid="{03C759EA-1E9E-421F-A042-60F1C7A390CF}" name="Marketing_Spend" dataDxfId="2"/>
    <tableColumn id="5" xr3:uid="{AE02DAD8-0DBC-4B25-B242-F19E6699BA17}" name="State" dataDxfId="1"/>
    <tableColumn id="6" xr3:uid="{123F5632-6E50-4026-83ED-5163C84D4926}" name="Profit" dataDxfId="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0BC473-E6DC-4BDA-BDB0-6DAF28E7AC2A}" name="Table1" displayName="Table1" ref="A1:A51" totalsRowShown="0">
  <autoFilter ref="A1:A51" xr:uid="{830BC473-E6DC-4BDA-BDB0-6DAF28E7AC2A}"/>
  <tableColumns count="1">
    <tableColumn id="1" xr3:uid="{2DB71D25-1B9C-4040-9FBD-5EAFD7C4A4C5}" name="RD_Spend;&quot;Administration&quot;;&quot;Marketing_Spend&quot;;&quot;State&quot;;&quot;Profit&quot;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14BF-9CA9-42B3-AACA-81594C8B3430}">
  <dimension ref="A1:X113"/>
  <sheetViews>
    <sheetView tabSelected="1" zoomScale="73" workbookViewId="0">
      <selection activeCell="N29" sqref="N29"/>
    </sheetView>
  </sheetViews>
  <sheetFormatPr defaultRowHeight="14.4" x14ac:dyDescent="0.3"/>
  <cols>
    <col min="1" max="1" width="20.44140625" customWidth="1"/>
    <col min="2" max="2" width="24.88671875" customWidth="1"/>
    <col min="3" max="3" width="28.33203125" customWidth="1"/>
    <col min="4" max="5" width="24.6640625" customWidth="1"/>
    <col min="6" max="6" width="20.44140625" customWidth="1"/>
    <col min="7" max="7" width="24" customWidth="1"/>
    <col min="8" max="8" width="11.21875" customWidth="1"/>
    <col min="9" max="9" width="25.5546875" customWidth="1"/>
    <col min="10" max="10" width="26.6640625" customWidth="1"/>
    <col min="11" max="11" width="22.21875" customWidth="1"/>
    <col min="12" max="12" width="13.88671875" customWidth="1"/>
    <col min="13" max="13" width="22.21875" customWidth="1"/>
    <col min="14" max="14" width="20.88671875" customWidth="1"/>
    <col min="15" max="15" width="14.21875" customWidth="1"/>
    <col min="16" max="16" width="21.88671875" customWidth="1"/>
    <col min="17" max="17" width="25.44140625" customWidth="1"/>
  </cols>
  <sheetData>
    <row r="1" spans="1:24" x14ac:dyDescent="0.3">
      <c r="A1" s="1" t="s">
        <v>54</v>
      </c>
      <c r="B1" s="2" t="s">
        <v>55</v>
      </c>
      <c r="C1" s="2" t="s">
        <v>58</v>
      </c>
      <c r="D1" s="2" t="s">
        <v>56</v>
      </c>
      <c r="E1" s="3" t="s">
        <v>57</v>
      </c>
    </row>
    <row r="2" spans="1:24" x14ac:dyDescent="0.3">
      <c r="A2" s="4">
        <v>165349.20000000001</v>
      </c>
      <c r="B2" s="5">
        <v>136897.79999999999</v>
      </c>
      <c r="C2" s="5">
        <v>471784.1</v>
      </c>
      <c r="D2" s="5" t="s">
        <v>51</v>
      </c>
      <c r="E2" s="6">
        <v>192261.83</v>
      </c>
    </row>
    <row r="3" spans="1:24" x14ac:dyDescent="0.3">
      <c r="A3" s="4">
        <v>162597.70000000001</v>
      </c>
      <c r="B3" s="5">
        <v>151377.59</v>
      </c>
      <c r="C3" s="5">
        <v>443898.53</v>
      </c>
      <c r="D3" s="5" t="s">
        <v>52</v>
      </c>
      <c r="E3" s="6">
        <v>191792.06</v>
      </c>
    </row>
    <row r="4" spans="1:24" x14ac:dyDescent="0.3">
      <c r="A4" s="4">
        <v>153441.51</v>
      </c>
      <c r="B4" s="5">
        <v>101145.55</v>
      </c>
      <c r="C4" s="5">
        <v>407934.54</v>
      </c>
      <c r="D4" s="5" t="s">
        <v>53</v>
      </c>
      <c r="E4" s="6">
        <v>191050.39</v>
      </c>
    </row>
    <row r="5" spans="1:24" x14ac:dyDescent="0.3">
      <c r="A5" s="4">
        <v>144372.41</v>
      </c>
      <c r="B5" s="5">
        <v>118671.85</v>
      </c>
      <c r="C5" s="5">
        <v>383199.62</v>
      </c>
      <c r="D5" s="5" t="s">
        <v>51</v>
      </c>
      <c r="E5" s="6">
        <v>182901.99</v>
      </c>
    </row>
    <row r="6" spans="1:24" x14ac:dyDescent="0.3">
      <c r="A6" s="4">
        <v>142107.34</v>
      </c>
      <c r="B6" s="5">
        <v>91391.77</v>
      </c>
      <c r="C6" s="5">
        <v>366168.42</v>
      </c>
      <c r="D6" s="5" t="s">
        <v>53</v>
      </c>
      <c r="E6" s="6">
        <v>166187.94</v>
      </c>
    </row>
    <row r="7" spans="1:24" x14ac:dyDescent="0.3">
      <c r="A7" s="4">
        <v>131876.9</v>
      </c>
      <c r="B7" s="5">
        <v>99814.71</v>
      </c>
      <c r="C7" s="5">
        <v>362861.36</v>
      </c>
      <c r="D7" s="5" t="s">
        <v>51</v>
      </c>
      <c r="E7" s="6">
        <v>156991.12</v>
      </c>
    </row>
    <row r="8" spans="1:24" ht="18" x14ac:dyDescent="0.3">
      <c r="A8" s="4">
        <v>134615.46</v>
      </c>
      <c r="B8" s="5">
        <v>147198.87</v>
      </c>
      <c r="C8" s="5">
        <v>127716.82</v>
      </c>
      <c r="D8" s="5" t="s">
        <v>52</v>
      </c>
      <c r="E8" s="6">
        <v>156122.51</v>
      </c>
      <c r="H8" s="10" t="s">
        <v>59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ht="18" x14ac:dyDescent="0.3">
      <c r="A9" s="4">
        <v>130298.13</v>
      </c>
      <c r="B9" s="5">
        <v>145530.06</v>
      </c>
      <c r="C9" s="5">
        <v>323876.68</v>
      </c>
      <c r="D9" s="5" t="s">
        <v>53</v>
      </c>
      <c r="E9" s="6">
        <v>155752.6</v>
      </c>
      <c r="H9" s="12" t="s">
        <v>60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4" ht="18.600000000000001" thickBot="1" x14ac:dyDescent="0.35">
      <c r="A10" s="4">
        <v>120542.52</v>
      </c>
      <c r="B10" s="5">
        <v>148718.95000000001</v>
      </c>
      <c r="C10" s="5">
        <v>311613.28999999998</v>
      </c>
      <c r="D10" s="5" t="s">
        <v>51</v>
      </c>
      <c r="E10" s="6">
        <v>152211.76999999999</v>
      </c>
      <c r="H10" s="12" t="s">
        <v>61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4" ht="21" customHeight="1" x14ac:dyDescent="0.3">
      <c r="A11" s="4">
        <v>123334.88</v>
      </c>
      <c r="B11" s="5">
        <v>108679.17</v>
      </c>
      <c r="C11" s="5">
        <v>304981.62</v>
      </c>
      <c r="D11" s="5" t="s">
        <v>52</v>
      </c>
      <c r="E11" s="6">
        <v>149759.96</v>
      </c>
      <c r="H11" s="45" t="s">
        <v>62</v>
      </c>
      <c r="I11" s="46" t="s">
        <v>55</v>
      </c>
      <c r="J11" s="46" t="s">
        <v>63</v>
      </c>
      <c r="K11" s="47" t="s">
        <v>57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4" ht="18" x14ac:dyDescent="0.3">
      <c r="A12" s="4">
        <v>101913.08</v>
      </c>
      <c r="B12" s="5">
        <v>110594.11</v>
      </c>
      <c r="C12" s="5">
        <v>229160.95</v>
      </c>
      <c r="D12" s="5" t="s">
        <v>53</v>
      </c>
      <c r="E12" s="6">
        <v>146121.95000000001</v>
      </c>
      <c r="H12" s="48">
        <v>21892.92</v>
      </c>
      <c r="I12" s="44">
        <v>81910.77</v>
      </c>
      <c r="J12" s="44">
        <v>164270.70000000001</v>
      </c>
      <c r="K12" s="49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spans="1:24" ht="18.600000000000001" thickBot="1" x14ac:dyDescent="0.35">
      <c r="A13" s="4">
        <v>100671.96</v>
      </c>
      <c r="B13" s="5">
        <v>91790.61</v>
      </c>
      <c r="C13" s="5">
        <v>249744.55</v>
      </c>
      <c r="D13" s="5" t="s">
        <v>52</v>
      </c>
      <c r="E13" s="6">
        <v>144259.4</v>
      </c>
      <c r="H13" s="50">
        <v>23940.93</v>
      </c>
      <c r="I13" s="51">
        <v>96489.63</v>
      </c>
      <c r="J13" s="51">
        <v>137001.1</v>
      </c>
      <c r="K13" s="52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4" x14ac:dyDescent="0.3">
      <c r="A14" s="4">
        <v>93863.75</v>
      </c>
      <c r="B14" s="5">
        <v>127320.38</v>
      </c>
      <c r="C14" s="5">
        <v>249839.44</v>
      </c>
      <c r="D14" s="5" t="s">
        <v>53</v>
      </c>
      <c r="E14" s="6">
        <v>141585.51999999999</v>
      </c>
      <c r="H14" s="13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1:24" ht="18" x14ac:dyDescent="0.3">
      <c r="A15" s="4">
        <v>91992.39</v>
      </c>
      <c r="B15" s="5">
        <v>135495.07</v>
      </c>
      <c r="C15" s="5">
        <v>252664.93</v>
      </c>
      <c r="D15" s="5" t="s">
        <v>52</v>
      </c>
      <c r="E15" s="6">
        <v>134307.35</v>
      </c>
      <c r="H15" s="14" t="s">
        <v>64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4" x14ac:dyDescent="0.3">
      <c r="A16" s="4">
        <v>119943.24</v>
      </c>
      <c r="B16" s="5">
        <v>156547.42000000001</v>
      </c>
      <c r="C16" s="5">
        <v>256512.92</v>
      </c>
      <c r="D16" s="5" t="s">
        <v>53</v>
      </c>
      <c r="E16" s="6">
        <v>132602.65</v>
      </c>
    </row>
    <row r="17" spans="1:18" ht="18" x14ac:dyDescent="0.35">
      <c r="A17" s="4">
        <v>114523.61</v>
      </c>
      <c r="B17" s="5">
        <v>122616.84</v>
      </c>
      <c r="C17" s="5">
        <v>261776.23</v>
      </c>
      <c r="D17" s="5" t="s">
        <v>51</v>
      </c>
      <c r="E17" s="6">
        <v>129917.04</v>
      </c>
      <c r="H17" s="15" t="s">
        <v>65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spans="1:18" x14ac:dyDescent="0.3">
      <c r="A18" s="4">
        <v>78013.11</v>
      </c>
      <c r="B18" s="5">
        <v>121597.55</v>
      </c>
      <c r="C18" s="5">
        <v>264346.06</v>
      </c>
      <c r="D18" s="5" t="s">
        <v>52</v>
      </c>
      <c r="E18" s="6">
        <v>126992.93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</row>
    <row r="19" spans="1:18" ht="18" x14ac:dyDescent="0.35">
      <c r="A19" s="4">
        <v>94657.16</v>
      </c>
      <c r="B19" s="5">
        <v>145077.57999999999</v>
      </c>
      <c r="C19" s="5">
        <v>282574.31</v>
      </c>
      <c r="D19" s="5" t="s">
        <v>51</v>
      </c>
      <c r="E19" s="6">
        <v>125370.37</v>
      </c>
      <c r="H19" s="17" t="s">
        <v>66</v>
      </c>
      <c r="I19" s="16"/>
      <c r="J19" s="18" t="s">
        <v>67</v>
      </c>
      <c r="K19" s="16"/>
      <c r="L19" s="16"/>
      <c r="M19" s="16"/>
      <c r="N19" s="16"/>
      <c r="O19" s="16"/>
      <c r="P19" s="16"/>
      <c r="Q19" s="16"/>
      <c r="R19" s="16"/>
    </row>
    <row r="20" spans="1:18" ht="18" x14ac:dyDescent="0.35">
      <c r="A20" s="4">
        <v>91749.16</v>
      </c>
      <c r="B20" s="5">
        <v>114175.79</v>
      </c>
      <c r="C20" s="5">
        <v>294919.57</v>
      </c>
      <c r="D20" s="5" t="s">
        <v>53</v>
      </c>
      <c r="E20" s="6">
        <v>124266.9</v>
      </c>
      <c r="H20" s="17" t="s">
        <v>68</v>
      </c>
      <c r="I20" s="16"/>
      <c r="J20" s="16"/>
      <c r="K20" s="19" t="s">
        <v>75</v>
      </c>
      <c r="L20" s="16"/>
      <c r="M20" s="16"/>
      <c r="N20" s="16"/>
      <c r="O20" s="16"/>
      <c r="P20" s="16"/>
      <c r="Q20" s="16"/>
      <c r="R20" s="16"/>
    </row>
    <row r="21" spans="1:18" ht="18" x14ac:dyDescent="0.35">
      <c r="A21" s="4">
        <v>86419.7</v>
      </c>
      <c r="B21" s="5">
        <v>153514.10999999999</v>
      </c>
      <c r="C21" s="5">
        <v>0</v>
      </c>
      <c r="D21" s="5" t="s">
        <v>51</v>
      </c>
      <c r="E21" s="6">
        <v>122776.86</v>
      </c>
      <c r="H21" s="17" t="s">
        <v>69</v>
      </c>
      <c r="I21" s="16"/>
      <c r="J21" s="16"/>
      <c r="K21" s="19" t="s">
        <v>74</v>
      </c>
      <c r="L21" s="16"/>
      <c r="M21" s="16"/>
      <c r="N21" s="16"/>
      <c r="O21" s="16"/>
      <c r="P21" s="16"/>
      <c r="Q21" s="16"/>
      <c r="R21" s="16"/>
    </row>
    <row r="22" spans="1:18" ht="18" x14ac:dyDescent="0.35">
      <c r="A22" s="4">
        <v>76253.86</v>
      </c>
      <c r="B22" s="5">
        <v>113867.3</v>
      </c>
      <c r="C22" s="5">
        <v>298664.46999999997</v>
      </c>
      <c r="D22" s="5" t="s">
        <v>52</v>
      </c>
      <c r="E22" s="6">
        <v>118474.03</v>
      </c>
      <c r="H22" s="17" t="s">
        <v>70</v>
      </c>
      <c r="I22" s="18" t="s">
        <v>71</v>
      </c>
      <c r="J22" s="16"/>
      <c r="K22" s="16"/>
      <c r="L22" s="16"/>
      <c r="M22" s="16"/>
      <c r="N22" s="16"/>
      <c r="O22" s="16"/>
      <c r="P22" s="16"/>
      <c r="Q22" s="16"/>
      <c r="R22" s="16"/>
    </row>
    <row r="23" spans="1:18" ht="18" x14ac:dyDescent="0.35">
      <c r="A23" s="4">
        <v>78389.47</v>
      </c>
      <c r="B23" s="5">
        <v>153773.43</v>
      </c>
      <c r="C23" s="5">
        <v>299737.28999999998</v>
      </c>
      <c r="D23" s="5" t="s">
        <v>51</v>
      </c>
      <c r="E23" s="6">
        <v>111313.02</v>
      </c>
      <c r="H23" s="17" t="s">
        <v>72</v>
      </c>
      <c r="I23" s="19" t="s">
        <v>73</v>
      </c>
      <c r="J23" s="16"/>
      <c r="K23" s="16"/>
      <c r="L23" s="16"/>
      <c r="M23" s="16"/>
      <c r="N23" s="16"/>
      <c r="O23" s="16"/>
      <c r="P23" s="16"/>
      <c r="Q23" s="16"/>
      <c r="R23" s="16"/>
    </row>
    <row r="24" spans="1:18" x14ac:dyDescent="0.3">
      <c r="A24" s="4">
        <v>73994.559999999998</v>
      </c>
      <c r="B24" s="5">
        <v>122782.75</v>
      </c>
      <c r="C24" s="5">
        <v>303319.26</v>
      </c>
      <c r="D24" s="5" t="s">
        <v>53</v>
      </c>
      <c r="E24" s="6">
        <v>110352.25</v>
      </c>
    </row>
    <row r="25" spans="1:18" x14ac:dyDescent="0.3">
      <c r="A25" s="4">
        <v>67532.53</v>
      </c>
      <c r="B25" s="5">
        <v>105751.03</v>
      </c>
      <c r="C25" s="5">
        <v>304768.73</v>
      </c>
      <c r="D25" s="5" t="s">
        <v>53</v>
      </c>
      <c r="E25" s="6">
        <v>108733.99</v>
      </c>
    </row>
    <row r="26" spans="1:18" x14ac:dyDescent="0.3">
      <c r="A26" s="4">
        <v>77044.009999999995</v>
      </c>
      <c r="B26" s="5">
        <v>99281.34</v>
      </c>
      <c r="C26" s="5">
        <v>140574.81</v>
      </c>
      <c r="D26" s="5" t="s">
        <v>51</v>
      </c>
      <c r="E26" s="6">
        <v>108552.04</v>
      </c>
    </row>
    <row r="27" spans="1:18" x14ac:dyDescent="0.3">
      <c r="A27" s="4">
        <v>64664.71</v>
      </c>
      <c r="B27" s="5">
        <v>139553.16</v>
      </c>
      <c r="C27" s="5">
        <v>137962.62</v>
      </c>
      <c r="D27" s="5" t="s">
        <v>52</v>
      </c>
      <c r="E27" s="6">
        <v>107404.34</v>
      </c>
    </row>
    <row r="28" spans="1:18" x14ac:dyDescent="0.3">
      <c r="A28" s="4">
        <v>75328.87</v>
      </c>
      <c r="B28" s="5">
        <v>144135.98000000001</v>
      </c>
      <c r="C28" s="5">
        <v>134050.07</v>
      </c>
      <c r="D28" s="5" t="s">
        <v>53</v>
      </c>
      <c r="E28" s="6">
        <v>105733.54</v>
      </c>
    </row>
    <row r="29" spans="1:18" x14ac:dyDescent="0.3">
      <c r="A29" s="4">
        <v>72107.600000000006</v>
      </c>
      <c r="B29" s="5">
        <v>127864.55</v>
      </c>
      <c r="C29" s="5">
        <v>353183.81</v>
      </c>
      <c r="D29" s="5" t="s">
        <v>51</v>
      </c>
      <c r="E29" s="6">
        <v>105008.31</v>
      </c>
    </row>
    <row r="30" spans="1:18" x14ac:dyDescent="0.3">
      <c r="A30" s="4">
        <v>66051.520000000004</v>
      </c>
      <c r="B30" s="5">
        <v>182645.56</v>
      </c>
      <c r="C30" s="5">
        <v>118148.2</v>
      </c>
      <c r="D30" s="5" t="s">
        <v>53</v>
      </c>
      <c r="E30" s="6">
        <v>103282.38</v>
      </c>
    </row>
    <row r="31" spans="1:18" x14ac:dyDescent="0.3">
      <c r="A31" s="4">
        <v>65605.48</v>
      </c>
      <c r="B31" s="5">
        <v>153032.06</v>
      </c>
      <c r="C31" s="5">
        <v>107138.38</v>
      </c>
      <c r="D31" s="5" t="s">
        <v>51</v>
      </c>
      <c r="E31" s="6">
        <v>101004.64</v>
      </c>
    </row>
    <row r="32" spans="1:18" x14ac:dyDescent="0.3">
      <c r="A32" s="4">
        <v>61994.48</v>
      </c>
      <c r="B32" s="5">
        <v>115641.28</v>
      </c>
      <c r="C32" s="5">
        <v>91131.24</v>
      </c>
      <c r="D32" s="5" t="s">
        <v>53</v>
      </c>
      <c r="E32" s="6">
        <v>99937.59</v>
      </c>
    </row>
    <row r="33" spans="1:5" x14ac:dyDescent="0.3">
      <c r="A33" s="4">
        <v>61136.38</v>
      </c>
      <c r="B33" s="5">
        <v>152701.92000000001</v>
      </c>
      <c r="C33" s="5">
        <v>88218.23</v>
      </c>
      <c r="D33" s="5" t="s">
        <v>51</v>
      </c>
      <c r="E33" s="6">
        <v>97483.56</v>
      </c>
    </row>
    <row r="34" spans="1:5" x14ac:dyDescent="0.3">
      <c r="A34" s="4">
        <v>63408.86</v>
      </c>
      <c r="B34" s="5">
        <v>129219.61</v>
      </c>
      <c r="C34" s="5">
        <v>46085.25</v>
      </c>
      <c r="D34" s="5" t="s">
        <v>52</v>
      </c>
      <c r="E34" s="6">
        <v>97427.839999999997</v>
      </c>
    </row>
    <row r="35" spans="1:5" x14ac:dyDescent="0.3">
      <c r="A35" s="4">
        <v>55493.95</v>
      </c>
      <c r="B35" s="5">
        <v>103057.49</v>
      </c>
      <c r="C35" s="5">
        <v>214634.81</v>
      </c>
      <c r="D35" s="5" t="s">
        <v>53</v>
      </c>
      <c r="E35" s="6">
        <v>96778.92</v>
      </c>
    </row>
    <row r="36" spans="1:5" x14ac:dyDescent="0.3">
      <c r="A36" s="4">
        <v>46426.07</v>
      </c>
      <c r="B36" s="5">
        <v>157693.92000000001</v>
      </c>
      <c r="C36" s="5">
        <v>210797.67</v>
      </c>
      <c r="D36" s="5" t="s">
        <v>52</v>
      </c>
      <c r="E36" s="6">
        <v>96712.8</v>
      </c>
    </row>
    <row r="37" spans="1:5" x14ac:dyDescent="0.3">
      <c r="A37" s="4">
        <v>46014.02</v>
      </c>
      <c r="B37" s="5">
        <v>85047.44</v>
      </c>
      <c r="C37" s="5">
        <v>205517.64</v>
      </c>
      <c r="D37" s="5" t="s">
        <v>51</v>
      </c>
      <c r="E37" s="6">
        <v>96479.51</v>
      </c>
    </row>
    <row r="38" spans="1:5" x14ac:dyDescent="0.3">
      <c r="A38" s="4">
        <v>28663.759999999998</v>
      </c>
      <c r="B38" s="5">
        <v>127056.21</v>
      </c>
      <c r="C38" s="5">
        <v>201126.82</v>
      </c>
      <c r="D38" s="5" t="s">
        <v>53</v>
      </c>
      <c r="E38" s="6">
        <v>90708.19</v>
      </c>
    </row>
    <row r="39" spans="1:5" x14ac:dyDescent="0.3">
      <c r="A39" s="4">
        <v>44069.95</v>
      </c>
      <c r="B39" s="5">
        <v>51283.14</v>
      </c>
      <c r="C39" s="5">
        <v>197029.42</v>
      </c>
      <c r="D39" s="5" t="s">
        <v>52</v>
      </c>
      <c r="E39" s="6">
        <v>89949.14</v>
      </c>
    </row>
    <row r="40" spans="1:5" x14ac:dyDescent="0.3">
      <c r="A40" s="4">
        <v>20229.59</v>
      </c>
      <c r="B40" s="5">
        <v>65947.929999999993</v>
      </c>
      <c r="C40" s="5">
        <v>185265.1</v>
      </c>
      <c r="D40" s="5" t="s">
        <v>51</v>
      </c>
      <c r="E40" s="6">
        <v>81229.06</v>
      </c>
    </row>
    <row r="41" spans="1:5" x14ac:dyDescent="0.3">
      <c r="A41" s="4">
        <v>38558.51</v>
      </c>
      <c r="B41" s="5">
        <v>82982.09</v>
      </c>
      <c r="C41" s="5">
        <v>174999.3</v>
      </c>
      <c r="D41" s="5" t="s">
        <v>52</v>
      </c>
      <c r="E41" s="6">
        <v>81005.759999999995</v>
      </c>
    </row>
    <row r="42" spans="1:5" x14ac:dyDescent="0.3">
      <c r="A42" s="4">
        <v>28754.33</v>
      </c>
      <c r="B42" s="5">
        <v>118546.05</v>
      </c>
      <c r="C42" s="5">
        <v>172795.67</v>
      </c>
      <c r="D42" s="5" t="s">
        <v>52</v>
      </c>
      <c r="E42" s="6">
        <v>78239.91</v>
      </c>
    </row>
    <row r="43" spans="1:5" x14ac:dyDescent="0.3">
      <c r="A43" s="4">
        <v>27892.92</v>
      </c>
      <c r="B43" s="5">
        <v>84710.77</v>
      </c>
      <c r="C43" s="5">
        <v>164470.71</v>
      </c>
      <c r="D43" s="5" t="s">
        <v>53</v>
      </c>
      <c r="E43" s="6">
        <v>77798.83</v>
      </c>
    </row>
    <row r="44" spans="1:5" x14ac:dyDescent="0.3">
      <c r="A44" s="4">
        <v>23640.93</v>
      </c>
      <c r="B44" s="5">
        <v>96189.63</v>
      </c>
      <c r="C44" s="5">
        <v>148001.10999999999</v>
      </c>
      <c r="D44" s="5" t="s">
        <v>52</v>
      </c>
      <c r="E44" s="6">
        <v>71498.490000000005</v>
      </c>
    </row>
    <row r="45" spans="1:5" x14ac:dyDescent="0.3">
      <c r="A45" s="4">
        <v>15505.73</v>
      </c>
      <c r="B45" s="5">
        <v>127382.3</v>
      </c>
      <c r="C45" s="5">
        <v>35534.17</v>
      </c>
      <c r="D45" s="5" t="s">
        <v>51</v>
      </c>
      <c r="E45" s="6">
        <v>69758.98</v>
      </c>
    </row>
    <row r="46" spans="1:5" x14ac:dyDescent="0.3">
      <c r="A46" s="4">
        <v>22177.74</v>
      </c>
      <c r="B46" s="5">
        <v>154806.14000000001</v>
      </c>
      <c r="C46" s="5">
        <v>28334.720000000001</v>
      </c>
      <c r="D46" s="5" t="s">
        <v>52</v>
      </c>
      <c r="E46" s="6">
        <v>65200.33</v>
      </c>
    </row>
    <row r="47" spans="1:5" x14ac:dyDescent="0.3">
      <c r="A47" s="4">
        <v>1000.23</v>
      </c>
      <c r="B47" s="5">
        <v>124153.04</v>
      </c>
      <c r="C47" s="5">
        <v>1903.93</v>
      </c>
      <c r="D47" s="5" t="s">
        <v>51</v>
      </c>
      <c r="E47" s="6">
        <v>64926.080000000002</v>
      </c>
    </row>
    <row r="48" spans="1:5" x14ac:dyDescent="0.3">
      <c r="A48" s="4">
        <v>1315.46</v>
      </c>
      <c r="B48" s="5">
        <v>115816.21</v>
      </c>
      <c r="C48" s="5">
        <v>297114.46000000002</v>
      </c>
      <c r="D48" s="5" t="s">
        <v>53</v>
      </c>
      <c r="E48" s="6">
        <v>49490.75</v>
      </c>
    </row>
    <row r="49" spans="1:17" x14ac:dyDescent="0.3">
      <c r="A49" s="4">
        <v>0</v>
      </c>
      <c r="B49" s="5">
        <v>135426.92000000001</v>
      </c>
      <c r="C49" s="5">
        <v>0</v>
      </c>
      <c r="D49" s="5" t="s">
        <v>52</v>
      </c>
      <c r="E49" s="6">
        <v>42559.73</v>
      </c>
      <c r="I49" s="20" t="s">
        <v>76</v>
      </c>
      <c r="J49" s="20"/>
      <c r="K49" s="20"/>
      <c r="L49" s="20"/>
      <c r="M49" s="20"/>
      <c r="N49" s="20"/>
      <c r="O49" s="20"/>
      <c r="P49" s="20"/>
      <c r="Q49" s="20"/>
    </row>
    <row r="50" spans="1:17" ht="15" thickBot="1" x14ac:dyDescent="0.35">
      <c r="A50" s="4">
        <v>542.04999999999995</v>
      </c>
      <c r="B50" s="5">
        <v>51743.15</v>
      </c>
      <c r="C50" s="5">
        <v>0</v>
      </c>
      <c r="D50" s="5" t="s">
        <v>51</v>
      </c>
      <c r="E50" s="6">
        <v>35673.410000000003</v>
      </c>
      <c r="I50" s="20"/>
      <c r="J50" s="20"/>
      <c r="K50" s="20"/>
      <c r="L50" s="20"/>
      <c r="M50" s="20"/>
      <c r="N50" s="20"/>
      <c r="O50" s="20"/>
      <c r="P50" s="20"/>
      <c r="Q50" s="20"/>
    </row>
    <row r="51" spans="1:17" x14ac:dyDescent="0.3">
      <c r="A51" s="7">
        <v>0</v>
      </c>
      <c r="B51" s="8">
        <v>116983.8</v>
      </c>
      <c r="C51" s="8">
        <v>45173.06</v>
      </c>
      <c r="D51" s="8" t="s">
        <v>52</v>
      </c>
      <c r="E51" s="9">
        <v>14681.4</v>
      </c>
      <c r="I51" s="37" t="s">
        <v>77</v>
      </c>
      <c r="J51" s="37"/>
      <c r="K51" s="20"/>
      <c r="L51" s="20"/>
      <c r="M51" s="20"/>
      <c r="N51" s="20"/>
      <c r="O51" s="20"/>
      <c r="P51" s="20"/>
      <c r="Q51" s="20"/>
    </row>
    <row r="52" spans="1:17" x14ac:dyDescent="0.3">
      <c r="I52" s="20" t="s">
        <v>78</v>
      </c>
      <c r="J52" s="20">
        <v>0.97506204626594128</v>
      </c>
      <c r="K52" s="20"/>
      <c r="L52" s="20"/>
      <c r="M52" s="20"/>
      <c r="N52" s="20"/>
      <c r="O52" s="20"/>
      <c r="P52" s="20"/>
      <c r="Q52" s="20"/>
    </row>
    <row r="53" spans="1:17" x14ac:dyDescent="0.3">
      <c r="I53" s="20" t="s">
        <v>79</v>
      </c>
      <c r="J53" s="20">
        <v>0.95074599406832461</v>
      </c>
      <c r="K53" s="20"/>
      <c r="L53" s="20"/>
      <c r="M53" s="20"/>
      <c r="N53" s="20"/>
      <c r="O53" s="20"/>
      <c r="P53" s="20"/>
      <c r="Q53" s="20"/>
    </row>
    <row r="54" spans="1:17" x14ac:dyDescent="0.3">
      <c r="I54" s="20" t="s">
        <v>80</v>
      </c>
      <c r="J54" s="20">
        <v>0.94753377629017177</v>
      </c>
      <c r="K54" s="20"/>
      <c r="L54" s="20"/>
      <c r="M54" s="20"/>
      <c r="N54" s="20"/>
      <c r="O54" s="20"/>
      <c r="P54" s="20"/>
      <c r="Q54" s="20"/>
    </row>
    <row r="55" spans="1:17" x14ac:dyDescent="0.3">
      <c r="I55" s="20" t="s">
        <v>81</v>
      </c>
      <c r="J55" s="20">
        <v>9232.3348370026924</v>
      </c>
      <c r="K55" s="20"/>
      <c r="L55" s="20"/>
      <c r="M55" s="20"/>
      <c r="N55" s="20"/>
      <c r="O55" s="20"/>
      <c r="P55" s="20"/>
      <c r="Q55" s="20"/>
    </row>
    <row r="56" spans="1:17" ht="15" thickBot="1" x14ac:dyDescent="0.35">
      <c r="I56" s="21" t="s">
        <v>82</v>
      </c>
      <c r="J56" s="21">
        <v>50</v>
      </c>
      <c r="K56" s="20"/>
      <c r="L56" s="20"/>
      <c r="M56" s="20"/>
      <c r="N56" s="20"/>
      <c r="O56" s="20"/>
      <c r="P56" s="20"/>
      <c r="Q56" s="20"/>
    </row>
    <row r="57" spans="1:17" x14ac:dyDescent="0.3">
      <c r="I57" s="20"/>
      <c r="J57" s="20"/>
      <c r="K57" s="20"/>
      <c r="L57" s="20"/>
      <c r="M57" s="20"/>
      <c r="N57" s="20"/>
      <c r="O57" s="20"/>
      <c r="P57" s="20"/>
      <c r="Q57" s="20"/>
    </row>
    <row r="58" spans="1:17" ht="15" thickBot="1" x14ac:dyDescent="0.35">
      <c r="I58" s="20" t="s">
        <v>83</v>
      </c>
      <c r="J58" s="20"/>
      <c r="K58" s="20"/>
      <c r="L58" s="20"/>
      <c r="M58" s="20"/>
      <c r="N58" s="20"/>
      <c r="O58" s="20"/>
      <c r="P58" s="20"/>
      <c r="Q58" s="20"/>
    </row>
    <row r="59" spans="1:17" x14ac:dyDescent="0.3">
      <c r="I59" s="38"/>
      <c r="J59" s="38" t="s">
        <v>88</v>
      </c>
      <c r="K59" s="38" t="s">
        <v>89</v>
      </c>
      <c r="L59" s="38" t="s">
        <v>90</v>
      </c>
      <c r="M59" s="38" t="s">
        <v>91</v>
      </c>
      <c r="N59" s="38" t="s">
        <v>92</v>
      </c>
      <c r="O59" s="20"/>
      <c r="P59" s="20"/>
      <c r="Q59" s="20"/>
    </row>
    <row r="60" spans="1:17" x14ac:dyDescent="0.3">
      <c r="I60" s="20" t="s">
        <v>84</v>
      </c>
      <c r="J60" s="20">
        <v>3</v>
      </c>
      <c r="K60" s="20">
        <v>75683964196.192642</v>
      </c>
      <c r="L60" s="20">
        <v>25227988065.397549</v>
      </c>
      <c r="M60" s="20">
        <v>295.97806242610113</v>
      </c>
      <c r="N60" s="20">
        <v>4.5285063201720611E-30</v>
      </c>
      <c r="O60" s="20"/>
      <c r="P60" s="20"/>
      <c r="Q60" s="20"/>
    </row>
    <row r="61" spans="1:17" x14ac:dyDescent="0.3">
      <c r="I61" s="20" t="s">
        <v>85</v>
      </c>
      <c r="J61" s="20">
        <v>46</v>
      </c>
      <c r="K61" s="20">
        <v>3920856300.956542</v>
      </c>
      <c r="L61" s="20">
        <v>85236006.542533517</v>
      </c>
      <c r="M61" s="20"/>
      <c r="N61" s="20"/>
      <c r="O61" s="20"/>
      <c r="P61" s="20"/>
      <c r="Q61" s="20"/>
    </row>
    <row r="62" spans="1:17" ht="15" thickBot="1" x14ac:dyDescent="0.35">
      <c r="I62" s="21" t="s">
        <v>86</v>
      </c>
      <c r="J62" s="21">
        <v>49</v>
      </c>
      <c r="K62" s="21">
        <v>79604820497.149185</v>
      </c>
      <c r="L62" s="21"/>
      <c r="M62" s="21"/>
      <c r="N62" s="21"/>
      <c r="O62" s="20"/>
      <c r="P62" s="20"/>
      <c r="Q62" s="20"/>
    </row>
    <row r="63" spans="1:17" ht="18.600000000000001" thickBot="1" x14ac:dyDescent="0.4">
      <c r="A63" s="25" t="s">
        <v>100</v>
      </c>
      <c r="B63" s="25" t="s">
        <v>101</v>
      </c>
      <c r="C63" s="25" t="s">
        <v>102</v>
      </c>
      <c r="D63" s="24" t="s">
        <v>110</v>
      </c>
      <c r="E63" s="40" t="s">
        <v>111</v>
      </c>
      <c r="F63" s="42" t="s">
        <v>112</v>
      </c>
      <c r="I63" s="20"/>
      <c r="J63" s="20"/>
      <c r="K63" s="20"/>
      <c r="L63" s="20"/>
      <c r="M63" s="20"/>
      <c r="N63" s="20"/>
      <c r="O63" s="20"/>
      <c r="P63" s="20"/>
      <c r="Q63" s="20"/>
    </row>
    <row r="64" spans="1:17" ht="18" x14ac:dyDescent="0.3">
      <c r="A64" s="31">
        <v>21892.92</v>
      </c>
      <c r="B64" s="31">
        <v>81910.77</v>
      </c>
      <c r="C64" s="31">
        <v>164270.70000000001</v>
      </c>
      <c r="D64" s="39">
        <f>(A64*$J$66)+(B64*$J$67)+(C64*$J$68)+$J$65</f>
        <v>70037.904765432817</v>
      </c>
      <c r="E64" s="41">
        <v>70011</v>
      </c>
      <c r="F64" s="43">
        <f>D64-E64</f>
        <v>26.90476543281693</v>
      </c>
      <c r="G64" s="20"/>
      <c r="H64" s="20"/>
      <c r="I64" s="38"/>
      <c r="J64" s="38" t="s">
        <v>93</v>
      </c>
      <c r="K64" s="38" t="s">
        <v>81</v>
      </c>
      <c r="L64" s="38" t="s">
        <v>94</v>
      </c>
      <c r="M64" s="38" t="s">
        <v>95</v>
      </c>
      <c r="N64" s="38" t="s">
        <v>96</v>
      </c>
      <c r="O64" s="38" t="s">
        <v>97</v>
      </c>
      <c r="P64" s="38" t="s">
        <v>98</v>
      </c>
      <c r="Q64" s="38" t="s">
        <v>99</v>
      </c>
    </row>
    <row r="65" spans="1:17" ht="18" x14ac:dyDescent="0.3">
      <c r="A65" s="31">
        <v>23940.93</v>
      </c>
      <c r="B65" s="31">
        <v>96489.63</v>
      </c>
      <c r="C65" s="31">
        <v>137001.1</v>
      </c>
      <c r="D65" s="39">
        <f>(A65*$J$66)+(B65*$J$67)+(C65*$J$68)+$J$65</f>
        <v>70554.572559926848</v>
      </c>
      <c r="E65" s="41">
        <v>70062</v>
      </c>
      <c r="F65" s="43">
        <f>D65-E65</f>
        <v>492.57255992684804</v>
      </c>
      <c r="G65" s="20"/>
      <c r="H65" s="20"/>
      <c r="I65" s="20" t="s">
        <v>87</v>
      </c>
      <c r="J65" s="20">
        <v>50122.192989865282</v>
      </c>
      <c r="K65" s="20">
        <v>6572.3526215324682</v>
      </c>
      <c r="L65" s="20">
        <v>7.6262178668950273</v>
      </c>
      <c r="M65" s="20">
        <v>1.0573791602334319E-9</v>
      </c>
      <c r="N65" s="20">
        <v>36892.733323435998</v>
      </c>
      <c r="O65" s="20">
        <v>63351.652656294566</v>
      </c>
      <c r="P65" s="20">
        <v>36892.733323435998</v>
      </c>
      <c r="Q65" s="20">
        <v>63351.652656294566</v>
      </c>
    </row>
    <row r="66" spans="1:17" x14ac:dyDescent="0.3">
      <c r="D66" s="35"/>
      <c r="E66" s="35"/>
      <c r="F66" s="20"/>
      <c r="G66" s="20"/>
      <c r="H66" s="20"/>
      <c r="I66" s="20" t="s">
        <v>54</v>
      </c>
      <c r="J66" s="20">
        <v>0.80571504991574339</v>
      </c>
      <c r="K66" s="20">
        <v>4.5147269728517771E-2</v>
      </c>
      <c r="L66" s="20">
        <v>17.846373762150328</v>
      </c>
      <c r="M66" s="20">
        <v>2.6349677214705453E-22</v>
      </c>
      <c r="N66" s="20">
        <v>0.71483830937598158</v>
      </c>
      <c r="O66" s="20">
        <v>0.89659179045550519</v>
      </c>
      <c r="P66" s="20">
        <v>0.71483830937598158</v>
      </c>
      <c r="Q66" s="20">
        <v>0.89659179045550519</v>
      </c>
    </row>
    <row r="67" spans="1:17" x14ac:dyDescent="0.3">
      <c r="D67" s="20"/>
      <c r="E67" s="20"/>
      <c r="F67" s="20"/>
      <c r="G67" s="20"/>
      <c r="H67" s="20"/>
      <c r="I67" s="20" t="s">
        <v>55</v>
      </c>
      <c r="J67" s="20">
        <v>-2.6815968394751061E-2</v>
      </c>
      <c r="K67" s="20">
        <v>5.1028779938751379E-2</v>
      </c>
      <c r="L67" s="20">
        <v>-0.52550675181608542</v>
      </c>
      <c r="M67" s="20">
        <v>0.60175510784974762</v>
      </c>
      <c r="N67" s="20">
        <v>-0.12953157495169182</v>
      </c>
      <c r="O67" s="20">
        <v>7.5899638162189684E-2</v>
      </c>
      <c r="P67" s="20">
        <v>-0.12953157495169182</v>
      </c>
      <c r="Q67" s="20">
        <v>7.5899638162189684E-2</v>
      </c>
    </row>
    <row r="68" spans="1:17" ht="15" thickBot="1" x14ac:dyDescent="0.35">
      <c r="D68" s="20"/>
      <c r="E68" s="20"/>
      <c r="F68" s="20"/>
      <c r="G68" s="20"/>
      <c r="H68" s="20"/>
      <c r="I68" s="21" t="s">
        <v>58</v>
      </c>
      <c r="J68" s="21">
        <v>2.7228064800818939E-2</v>
      </c>
      <c r="K68" s="21">
        <v>1.645123451799518E-2</v>
      </c>
      <c r="L68" s="21">
        <v>1.6550772995811058</v>
      </c>
      <c r="M68" s="21">
        <v>0.10471681926658105</v>
      </c>
      <c r="N68" s="21">
        <v>-5.8865527572449679E-3</v>
      </c>
      <c r="O68" s="21">
        <v>6.0342682358882849E-2</v>
      </c>
      <c r="P68" s="21">
        <v>-5.8865527572449679E-3</v>
      </c>
      <c r="Q68" s="21">
        <v>6.0342682358882849E-2</v>
      </c>
    </row>
    <row r="69" spans="1:17" x14ac:dyDescent="0.3">
      <c r="D69" s="20"/>
      <c r="E69" s="20"/>
      <c r="F69" s="20"/>
      <c r="G69" s="20"/>
      <c r="H69" s="20"/>
    </row>
    <row r="70" spans="1:17" x14ac:dyDescent="0.3">
      <c r="D70" s="20"/>
      <c r="E70" s="20"/>
      <c r="F70" s="20"/>
      <c r="G70" s="20"/>
      <c r="H70" s="20"/>
    </row>
    <row r="71" spans="1:17" x14ac:dyDescent="0.3">
      <c r="D71" s="20"/>
      <c r="E71" s="20"/>
      <c r="F71" s="20"/>
      <c r="G71" s="20"/>
      <c r="H71" s="20"/>
    </row>
    <row r="72" spans="1:17" x14ac:dyDescent="0.3"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</row>
    <row r="73" spans="1:17" x14ac:dyDescent="0.3"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</row>
    <row r="74" spans="1:17" x14ac:dyDescent="0.3">
      <c r="D74" s="36"/>
      <c r="E74" s="36"/>
      <c r="F74" s="36"/>
      <c r="G74" s="36"/>
      <c r="H74" s="36"/>
      <c r="I74" s="36"/>
      <c r="J74" s="20"/>
      <c r="K74" s="20"/>
      <c r="L74" s="20"/>
    </row>
    <row r="75" spans="1:17" x14ac:dyDescent="0.3">
      <c r="D75" s="20"/>
      <c r="E75" s="20"/>
      <c r="F75" s="20"/>
      <c r="G75" s="20"/>
      <c r="H75" s="20"/>
      <c r="I75" s="20"/>
      <c r="J75" s="20"/>
      <c r="K75" s="20"/>
      <c r="L75" s="20"/>
    </row>
    <row r="76" spans="1:17" x14ac:dyDescent="0.3">
      <c r="D76" s="20"/>
      <c r="E76" s="20"/>
      <c r="F76" s="20"/>
      <c r="G76" s="20"/>
      <c r="H76" s="20"/>
      <c r="I76" s="20"/>
      <c r="J76" s="20"/>
      <c r="K76" s="20"/>
      <c r="L76" s="20"/>
    </row>
    <row r="77" spans="1:17" x14ac:dyDescent="0.3">
      <c r="D77" s="20"/>
      <c r="E77" s="20"/>
      <c r="F77" s="20"/>
      <c r="G77" s="20"/>
      <c r="H77" s="20"/>
      <c r="I77" s="20"/>
      <c r="J77" s="20"/>
      <c r="K77" s="20"/>
      <c r="L77" s="20"/>
    </row>
    <row r="78" spans="1:17" x14ac:dyDescent="0.3">
      <c r="D78" s="20"/>
      <c r="E78" s="20"/>
      <c r="F78" s="20"/>
      <c r="G78" s="20"/>
      <c r="H78" s="20"/>
      <c r="I78" s="20"/>
      <c r="J78" s="20"/>
      <c r="K78" s="20"/>
      <c r="L78" s="20"/>
    </row>
    <row r="79" spans="1:17" x14ac:dyDescent="0.3">
      <c r="D79" s="36"/>
      <c r="E79" s="36"/>
      <c r="F79" s="36"/>
      <c r="G79" s="36"/>
      <c r="H79" s="36"/>
      <c r="I79" s="36"/>
      <c r="J79" s="36"/>
      <c r="K79" s="36"/>
      <c r="L79" s="36"/>
    </row>
    <row r="80" spans="1:17" x14ac:dyDescent="0.3">
      <c r="D80" s="20"/>
      <c r="E80" s="20"/>
      <c r="F80" s="20"/>
      <c r="G80" s="20"/>
      <c r="H80" s="20"/>
      <c r="I80" s="20"/>
      <c r="J80" s="20"/>
      <c r="K80" s="20"/>
      <c r="L80" s="20"/>
    </row>
    <row r="81" spans="1:12" x14ac:dyDescent="0.3">
      <c r="D81" s="20"/>
      <c r="E81" s="20"/>
      <c r="F81" s="20"/>
      <c r="G81" s="20"/>
      <c r="H81" s="20"/>
      <c r="I81" s="20"/>
      <c r="J81" s="20"/>
      <c r="K81" s="20"/>
      <c r="L81" s="20"/>
    </row>
    <row r="82" spans="1:12" x14ac:dyDescent="0.3">
      <c r="D82" s="20"/>
      <c r="E82" s="20"/>
      <c r="F82" s="20"/>
      <c r="G82" s="20"/>
      <c r="H82" s="20"/>
      <c r="I82" s="20"/>
      <c r="J82" s="20"/>
      <c r="K82" s="20"/>
      <c r="L82" s="20"/>
    </row>
    <row r="83" spans="1:12" x14ac:dyDescent="0.3">
      <c r="A83" s="28"/>
      <c r="D83" s="20"/>
      <c r="E83" s="20"/>
      <c r="F83" s="20"/>
      <c r="G83" s="20"/>
      <c r="H83" s="20"/>
      <c r="I83" s="20"/>
      <c r="J83" s="20"/>
      <c r="K83" s="20"/>
      <c r="L83" s="20"/>
    </row>
    <row r="84" spans="1:12" x14ac:dyDescent="0.3">
      <c r="A84" s="28"/>
    </row>
    <row r="85" spans="1:12" x14ac:dyDescent="0.3">
      <c r="A85" s="28"/>
    </row>
    <row r="86" spans="1:12" x14ac:dyDescent="0.3">
      <c r="A86" s="28"/>
    </row>
    <row r="87" spans="1:12" x14ac:dyDescent="0.3">
      <c r="A87" s="28"/>
    </row>
    <row r="88" spans="1:12" x14ac:dyDescent="0.3">
      <c r="A88" s="30"/>
    </row>
    <row r="101" spans="4:9" x14ac:dyDescent="0.3">
      <c r="D101" t="s">
        <v>113</v>
      </c>
      <c r="E101" s="32" t="s">
        <v>54</v>
      </c>
      <c r="F101" s="32" t="s">
        <v>55</v>
      </c>
      <c r="G101" s="32" t="s">
        <v>58</v>
      </c>
      <c r="H101" s="32" t="s">
        <v>56</v>
      </c>
      <c r="I101" s="32" t="s">
        <v>57</v>
      </c>
    </row>
    <row r="102" spans="4:9" x14ac:dyDescent="0.3">
      <c r="D102" t="s">
        <v>114</v>
      </c>
      <c r="E102" s="33">
        <v>165349.20000000001</v>
      </c>
      <c r="F102" s="33">
        <v>136897.79999999999</v>
      </c>
      <c r="G102" s="33">
        <v>471784.1</v>
      </c>
      <c r="H102" s="33" t="s">
        <v>51</v>
      </c>
      <c r="I102" s="33">
        <v>192261.83</v>
      </c>
    </row>
    <row r="103" spans="4:9" x14ac:dyDescent="0.3">
      <c r="D103" t="s">
        <v>115</v>
      </c>
      <c r="E103" s="34">
        <v>162597.70000000001</v>
      </c>
      <c r="F103" s="34">
        <v>151377.59</v>
      </c>
      <c r="G103" s="34">
        <v>443898.53</v>
      </c>
      <c r="H103" s="34" t="s">
        <v>52</v>
      </c>
      <c r="I103" s="34">
        <v>191792.06</v>
      </c>
    </row>
    <row r="104" spans="4:9" x14ac:dyDescent="0.3">
      <c r="D104" t="s">
        <v>116</v>
      </c>
      <c r="E104" s="33">
        <v>153441.51</v>
      </c>
      <c r="F104" s="33">
        <v>101145.55</v>
      </c>
      <c r="G104" s="33">
        <v>407934.54</v>
      </c>
      <c r="H104" s="33" t="s">
        <v>53</v>
      </c>
      <c r="I104" s="33">
        <v>191050.39</v>
      </c>
    </row>
    <row r="105" spans="4:9" x14ac:dyDescent="0.3">
      <c r="D105" t="s">
        <v>117</v>
      </c>
      <c r="E105" s="34">
        <v>144372.41</v>
      </c>
      <c r="F105" s="34">
        <v>118671.85</v>
      </c>
      <c r="G105" s="34">
        <v>383199.62</v>
      </c>
      <c r="H105" s="34" t="s">
        <v>51</v>
      </c>
      <c r="I105" s="34">
        <v>182901.99</v>
      </c>
    </row>
    <row r="106" spans="4:9" x14ac:dyDescent="0.3">
      <c r="D106" t="s">
        <v>118</v>
      </c>
      <c r="E106" s="33">
        <v>142107.34</v>
      </c>
      <c r="F106" s="33">
        <v>91391.77</v>
      </c>
      <c r="G106" s="33">
        <v>366168.42</v>
      </c>
      <c r="H106" s="33" t="s">
        <v>53</v>
      </c>
      <c r="I106" s="33">
        <v>166187.94</v>
      </c>
    </row>
    <row r="108" spans="4:9" x14ac:dyDescent="0.3">
      <c r="D108" t="s">
        <v>124</v>
      </c>
      <c r="E108" s="33">
        <v>22177.74</v>
      </c>
      <c r="F108" s="33">
        <v>154806.14000000001</v>
      </c>
      <c r="G108" s="33">
        <v>28334.720000000001</v>
      </c>
      <c r="H108" s="33" t="s">
        <v>52</v>
      </c>
      <c r="I108" s="33">
        <v>65200.33</v>
      </c>
    </row>
    <row r="109" spans="4:9" x14ac:dyDescent="0.3">
      <c r="D109" t="s">
        <v>123</v>
      </c>
      <c r="E109" s="34">
        <v>1000.23</v>
      </c>
      <c r="F109" s="34">
        <v>124153.04</v>
      </c>
      <c r="G109" s="34">
        <v>1903.93</v>
      </c>
      <c r="H109" s="34" t="s">
        <v>51</v>
      </c>
      <c r="I109" s="34">
        <v>64926.080000000002</v>
      </c>
    </row>
    <row r="110" spans="4:9" x14ac:dyDescent="0.3">
      <c r="D110" t="s">
        <v>122</v>
      </c>
      <c r="E110" s="33">
        <v>1315.46</v>
      </c>
      <c r="F110" s="33">
        <v>115816.21</v>
      </c>
      <c r="G110" s="33">
        <v>297114.46000000002</v>
      </c>
      <c r="H110" s="33" t="s">
        <v>53</v>
      </c>
      <c r="I110" s="33">
        <v>49490.75</v>
      </c>
    </row>
    <row r="111" spans="4:9" x14ac:dyDescent="0.3">
      <c r="D111" t="s">
        <v>121</v>
      </c>
      <c r="E111" s="34">
        <v>0</v>
      </c>
      <c r="F111" s="34">
        <v>135426.92000000001</v>
      </c>
      <c r="G111" s="34">
        <v>0</v>
      </c>
      <c r="H111" s="34" t="s">
        <v>52</v>
      </c>
      <c r="I111" s="34">
        <v>42559.73</v>
      </c>
    </row>
    <row r="112" spans="4:9" x14ac:dyDescent="0.3">
      <c r="D112" t="s">
        <v>120</v>
      </c>
      <c r="E112" s="33">
        <v>542.04999999999995</v>
      </c>
      <c r="F112" s="33">
        <v>51743.15</v>
      </c>
      <c r="G112" s="33">
        <v>0</v>
      </c>
      <c r="H112" s="33" t="s">
        <v>51</v>
      </c>
      <c r="I112" s="33">
        <v>35673.410000000003</v>
      </c>
    </row>
    <row r="113" spans="4:9" x14ac:dyDescent="0.3">
      <c r="D113" t="s">
        <v>119</v>
      </c>
      <c r="E113" s="34">
        <v>0</v>
      </c>
      <c r="F113" s="34">
        <v>116983.8</v>
      </c>
      <c r="G113" s="34">
        <v>45173.06</v>
      </c>
      <c r="H113" s="34" t="s">
        <v>52</v>
      </c>
      <c r="I113" s="34">
        <v>14681.4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E2037-BD3E-4DFC-9053-3696A19FAA0D}">
  <dimension ref="A1:K33"/>
  <sheetViews>
    <sheetView topLeftCell="A16" workbookViewId="0">
      <selection activeCell="J11" sqref="J11"/>
    </sheetView>
  </sheetViews>
  <sheetFormatPr defaultRowHeight="14.4" x14ac:dyDescent="0.3"/>
  <cols>
    <col min="1" max="1" width="17.21875" customWidth="1"/>
    <col min="2" max="2" width="14.6640625" customWidth="1"/>
    <col min="3" max="3" width="16.77734375" customWidth="1"/>
    <col min="4" max="4" width="14.77734375" customWidth="1"/>
    <col min="6" max="6" width="13.109375" customWidth="1"/>
    <col min="7" max="7" width="12.109375" customWidth="1"/>
    <col min="8" max="8" width="15.21875" customWidth="1"/>
    <col min="9" max="9" width="12" customWidth="1"/>
  </cols>
  <sheetData>
    <row r="1" spans="1:9" x14ac:dyDescent="0.3">
      <c r="A1" s="20" t="s">
        <v>76</v>
      </c>
      <c r="B1" s="20"/>
      <c r="C1" s="20"/>
      <c r="D1" s="20"/>
      <c r="E1" s="20"/>
      <c r="F1" s="20"/>
      <c r="G1" s="20"/>
      <c r="H1" s="20"/>
      <c r="I1" s="20"/>
    </row>
    <row r="2" spans="1:9" ht="15" thickBot="1" x14ac:dyDescent="0.35">
      <c r="A2" s="20"/>
      <c r="B2" s="20"/>
      <c r="C2" s="20"/>
      <c r="D2" s="20"/>
      <c r="E2" s="20"/>
      <c r="F2" s="20"/>
      <c r="G2" s="20"/>
      <c r="H2" s="20"/>
      <c r="I2" s="20"/>
    </row>
    <row r="3" spans="1:9" x14ac:dyDescent="0.3">
      <c r="A3" s="22" t="s">
        <v>77</v>
      </c>
      <c r="B3" s="22"/>
      <c r="C3" s="20"/>
      <c r="D3" s="20"/>
      <c r="E3" s="20"/>
      <c r="F3" s="20"/>
      <c r="G3" s="20"/>
      <c r="H3" s="20"/>
      <c r="I3" s="20"/>
    </row>
    <row r="4" spans="1:9" x14ac:dyDescent="0.3">
      <c r="A4" s="20" t="s">
        <v>78</v>
      </c>
      <c r="B4" s="20">
        <v>0.97506204626594128</v>
      </c>
      <c r="C4" s="20"/>
      <c r="D4" s="20"/>
      <c r="E4" s="20"/>
      <c r="F4" s="20"/>
      <c r="G4" s="20"/>
      <c r="H4" s="20"/>
      <c r="I4" s="20"/>
    </row>
    <row r="5" spans="1:9" x14ac:dyDescent="0.3">
      <c r="A5" s="20" t="s">
        <v>79</v>
      </c>
      <c r="B5" s="20">
        <v>0.95074599406832461</v>
      </c>
      <c r="C5" s="20"/>
      <c r="D5" s="20"/>
      <c r="E5" s="20"/>
      <c r="F5" s="20"/>
      <c r="G5" s="20"/>
      <c r="H5" s="20"/>
      <c r="I5" s="20"/>
    </row>
    <row r="6" spans="1:9" x14ac:dyDescent="0.3">
      <c r="A6" s="20" t="s">
        <v>80</v>
      </c>
      <c r="B6" s="20">
        <v>0.94753377629017177</v>
      </c>
      <c r="C6" s="20"/>
      <c r="D6" s="20"/>
      <c r="E6" s="20"/>
      <c r="F6" s="20"/>
      <c r="G6" s="20"/>
      <c r="H6" s="20"/>
      <c r="I6" s="20"/>
    </row>
    <row r="7" spans="1:9" x14ac:dyDescent="0.3">
      <c r="A7" s="20" t="s">
        <v>81</v>
      </c>
      <c r="B7" s="20">
        <v>9232.3348370026924</v>
      </c>
      <c r="C7" s="20"/>
      <c r="D7" s="20"/>
      <c r="E7" s="20"/>
      <c r="F7" s="20"/>
      <c r="G7" s="20"/>
      <c r="H7" s="20"/>
      <c r="I7" s="20"/>
    </row>
    <row r="8" spans="1:9" ht="15" thickBot="1" x14ac:dyDescent="0.35">
      <c r="A8" s="21" t="s">
        <v>82</v>
      </c>
      <c r="B8" s="21">
        <v>50</v>
      </c>
      <c r="C8" s="20"/>
      <c r="D8" s="20"/>
      <c r="E8" s="20"/>
      <c r="F8" s="20"/>
      <c r="G8" s="20"/>
      <c r="H8" s="20"/>
      <c r="I8" s="20"/>
    </row>
    <row r="9" spans="1:9" x14ac:dyDescent="0.3">
      <c r="A9" s="20"/>
      <c r="B9" s="20"/>
      <c r="C9" s="20"/>
      <c r="D9" s="20"/>
      <c r="E9" s="20"/>
      <c r="F9" s="20"/>
      <c r="G9" s="20"/>
      <c r="H9" s="20"/>
      <c r="I9" s="20"/>
    </row>
    <row r="10" spans="1:9" ht="15" thickBot="1" x14ac:dyDescent="0.35">
      <c r="A10" s="20" t="s">
        <v>83</v>
      </c>
      <c r="B10" s="20"/>
      <c r="C10" s="20"/>
      <c r="D10" s="20"/>
      <c r="E10" s="20"/>
      <c r="F10" s="20"/>
      <c r="G10" s="20"/>
      <c r="H10" s="20"/>
      <c r="I10" s="20"/>
    </row>
    <row r="11" spans="1:9" x14ac:dyDescent="0.3">
      <c r="A11" s="23"/>
      <c r="B11" s="23" t="s">
        <v>88</v>
      </c>
      <c r="C11" s="23" t="s">
        <v>89</v>
      </c>
      <c r="D11" s="23" t="s">
        <v>90</v>
      </c>
      <c r="E11" s="23" t="s">
        <v>91</v>
      </c>
      <c r="F11" s="23" t="s">
        <v>92</v>
      </c>
      <c r="G11" s="20"/>
      <c r="H11" s="20"/>
      <c r="I11" s="20"/>
    </row>
    <row r="12" spans="1:9" x14ac:dyDescent="0.3">
      <c r="A12" s="20" t="s">
        <v>84</v>
      </c>
      <c r="B12" s="20">
        <v>3</v>
      </c>
      <c r="C12" s="20">
        <v>75683964196.192642</v>
      </c>
      <c r="D12" s="20">
        <v>25227988065.397549</v>
      </c>
      <c r="E12" s="20">
        <v>295.97806242610113</v>
      </c>
      <c r="F12" s="20">
        <v>4.5285063201720611E-30</v>
      </c>
      <c r="G12" s="20"/>
      <c r="H12" s="20"/>
      <c r="I12" s="20"/>
    </row>
    <row r="13" spans="1:9" x14ac:dyDescent="0.3">
      <c r="A13" s="20" t="s">
        <v>85</v>
      </c>
      <c r="B13" s="20">
        <v>46</v>
      </c>
      <c r="C13" s="20">
        <v>3920856300.956542</v>
      </c>
      <c r="D13" s="20">
        <v>85236006.542533517</v>
      </c>
      <c r="E13" s="20"/>
      <c r="F13" s="20"/>
      <c r="G13" s="20"/>
      <c r="H13" s="20"/>
      <c r="I13" s="20"/>
    </row>
    <row r="14" spans="1:9" ht="15" thickBot="1" x14ac:dyDescent="0.35">
      <c r="A14" s="21" t="s">
        <v>86</v>
      </c>
      <c r="B14" s="21">
        <v>49</v>
      </c>
      <c r="C14" s="21">
        <v>79604820497.149185</v>
      </c>
      <c r="D14" s="21"/>
      <c r="E14" s="21"/>
      <c r="F14" s="21"/>
      <c r="G14" s="20"/>
      <c r="H14" s="20"/>
      <c r="I14" s="20"/>
    </row>
    <row r="15" spans="1:9" ht="15" thickBot="1" x14ac:dyDescent="0.35">
      <c r="A15" s="20"/>
      <c r="B15" s="20"/>
      <c r="C15" s="20"/>
      <c r="D15" s="20"/>
      <c r="E15" s="20"/>
      <c r="F15" s="20"/>
      <c r="G15" s="20"/>
      <c r="H15" s="20"/>
      <c r="I15" s="20"/>
    </row>
    <row r="16" spans="1:9" x14ac:dyDescent="0.3">
      <c r="A16" s="23"/>
      <c r="B16" s="23" t="s">
        <v>93</v>
      </c>
      <c r="C16" s="23" t="s">
        <v>81</v>
      </c>
      <c r="D16" s="23" t="s">
        <v>94</v>
      </c>
      <c r="E16" s="23" t="s">
        <v>95</v>
      </c>
      <c r="F16" s="23" t="s">
        <v>96</v>
      </c>
      <c r="G16" s="23" t="s">
        <v>97</v>
      </c>
      <c r="H16" s="23" t="s">
        <v>98</v>
      </c>
      <c r="I16" s="23" t="s">
        <v>99</v>
      </c>
    </row>
    <row r="17" spans="1:11" x14ac:dyDescent="0.3">
      <c r="A17" s="20" t="s">
        <v>87</v>
      </c>
      <c r="B17" s="20">
        <v>50122.192989865282</v>
      </c>
      <c r="C17" s="20">
        <v>6572.3526215324682</v>
      </c>
      <c r="D17" s="20">
        <v>7.6262178668950273</v>
      </c>
      <c r="E17" s="20">
        <v>1.0573791602334319E-9</v>
      </c>
      <c r="F17" s="20">
        <v>36892.733323435998</v>
      </c>
      <c r="G17" s="20">
        <v>63351.652656294566</v>
      </c>
      <c r="H17" s="20">
        <v>36892.733323435998</v>
      </c>
      <c r="I17" s="20">
        <v>63351.652656294566</v>
      </c>
    </row>
    <row r="18" spans="1:11" x14ac:dyDescent="0.3">
      <c r="A18" s="20" t="s">
        <v>54</v>
      </c>
      <c r="B18" s="20">
        <v>0.80571504991574339</v>
      </c>
      <c r="C18" s="20">
        <v>4.5147269728517771E-2</v>
      </c>
      <c r="D18" s="20">
        <v>17.846373762150328</v>
      </c>
      <c r="E18" s="20">
        <v>2.6349677214705453E-22</v>
      </c>
      <c r="F18" s="20">
        <v>0.71483830937598158</v>
      </c>
      <c r="G18" s="20">
        <v>0.89659179045550519</v>
      </c>
      <c r="H18" s="20">
        <v>0.71483830937598158</v>
      </c>
      <c r="I18" s="20">
        <v>0.89659179045550519</v>
      </c>
    </row>
    <row r="19" spans="1:11" x14ac:dyDescent="0.3">
      <c r="A19" s="20" t="s">
        <v>55</v>
      </c>
      <c r="B19" s="20">
        <v>-2.6815968394751061E-2</v>
      </c>
      <c r="C19" s="20">
        <v>5.1028779938751379E-2</v>
      </c>
      <c r="D19" s="20">
        <v>-0.52550675181608542</v>
      </c>
      <c r="E19" s="20">
        <v>0.60175510784974762</v>
      </c>
      <c r="F19" s="20">
        <v>-0.12953157495169182</v>
      </c>
      <c r="G19" s="20">
        <v>7.5899638162189684E-2</v>
      </c>
      <c r="H19" s="20">
        <v>-0.12953157495169182</v>
      </c>
      <c r="I19" s="20">
        <v>7.5899638162189684E-2</v>
      </c>
    </row>
    <row r="20" spans="1:11" ht="15" thickBot="1" x14ac:dyDescent="0.35">
      <c r="A20" s="21" t="s">
        <v>58</v>
      </c>
      <c r="B20" s="21">
        <v>2.7228064800818939E-2</v>
      </c>
      <c r="C20" s="21">
        <v>1.645123451799518E-2</v>
      </c>
      <c r="D20" s="21">
        <v>1.6550772995811058</v>
      </c>
      <c r="E20" s="21">
        <v>0.10471681926658105</v>
      </c>
      <c r="F20" s="21">
        <v>-5.8865527572449679E-3</v>
      </c>
      <c r="G20" s="21">
        <v>6.0342682358882849E-2</v>
      </c>
      <c r="H20" s="21">
        <v>-5.8865527572449679E-3</v>
      </c>
      <c r="I20" s="21">
        <v>6.0342682358882849E-2</v>
      </c>
    </row>
    <row r="23" spans="1:11" ht="15" thickBot="1" x14ac:dyDescent="0.35"/>
    <row r="24" spans="1:11" x14ac:dyDescent="0.3">
      <c r="A24" t="s">
        <v>103</v>
      </c>
      <c r="I24" s="23"/>
      <c r="J24" s="23"/>
      <c r="K24" s="23"/>
    </row>
    <row r="25" spans="1:11" x14ac:dyDescent="0.3">
      <c r="A25" s="27">
        <v>1</v>
      </c>
      <c r="I25" s="20"/>
      <c r="J25" s="20"/>
      <c r="K25" s="20"/>
    </row>
    <row r="26" spans="1:11" ht="18" x14ac:dyDescent="0.35">
      <c r="A26" s="26" t="s">
        <v>104</v>
      </c>
      <c r="I26" s="20"/>
      <c r="J26" s="20"/>
      <c r="K26" s="20"/>
    </row>
    <row r="27" spans="1:11" x14ac:dyDescent="0.3">
      <c r="A27" t="s">
        <v>105</v>
      </c>
      <c r="I27" s="20"/>
      <c r="J27" s="20"/>
      <c r="K27" s="20"/>
    </row>
    <row r="28" spans="1:11" ht="15" thickBot="1" x14ac:dyDescent="0.35">
      <c r="I28" s="21"/>
      <c r="J28" s="21"/>
      <c r="K28" s="21"/>
    </row>
    <row r="30" spans="1:11" x14ac:dyDescent="0.3">
      <c r="A30" s="28" t="s">
        <v>106</v>
      </c>
    </row>
    <row r="31" spans="1:11" x14ac:dyDescent="0.3">
      <c r="A31" s="28" t="s">
        <v>107</v>
      </c>
    </row>
    <row r="32" spans="1:11" x14ac:dyDescent="0.3">
      <c r="A32" s="29" t="s">
        <v>108</v>
      </c>
    </row>
    <row r="33" spans="1:1" x14ac:dyDescent="0.3">
      <c r="A33" s="29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CF12B-76E7-4573-80C3-FE0C68E08456}">
  <dimension ref="A1:A51"/>
  <sheetViews>
    <sheetView workbookViewId="0">
      <selection activeCell="D40" sqref="D40"/>
    </sheetView>
  </sheetViews>
  <sheetFormatPr defaultRowHeight="14.4" x14ac:dyDescent="0.3"/>
  <cols>
    <col min="1" max="1" width="57.109375" customWidth="1"/>
    <col min="2" max="6" width="10.441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D1402E-4201-454E-9F3A-A55F59AEF0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Regression analysis</vt:lpstr>
      <vt:lpstr>PRDA-01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Gowda</dc:creator>
  <cp:lastModifiedBy>ROHAN S</cp:lastModifiedBy>
  <dcterms:created xsi:type="dcterms:W3CDTF">2025-09-23T06:15:29Z</dcterms:created>
  <dcterms:modified xsi:type="dcterms:W3CDTF">2026-01-02T14:32:06Z</dcterms:modified>
</cp:coreProperties>
</file>